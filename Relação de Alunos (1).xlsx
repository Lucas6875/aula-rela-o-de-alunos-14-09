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 06-Micro 10\Downloads\"/>
    </mc:Choice>
  </mc:AlternateContent>
  <xr:revisionPtr revIDLastSave="0" documentId="8_{0E4F2EC2-BC2F-4818-AD7D-583D8864D8FF}" xr6:coauthVersionLast="36" xr6:coauthVersionMax="36" xr10:uidLastSave="{00000000-0000-0000-0000-000000000000}"/>
  <bookViews>
    <workbookView xWindow="0" yWindow="0" windowWidth="19200" windowHeight="6810" activeTab="2" xr2:uid="{00000000-000D-0000-FFFF-FFFF00000000}"/>
  </bookViews>
  <sheets>
    <sheet name="Nave espacial" sheetId="1" r:id="rId1"/>
    <sheet name="Planilha1" sheetId="2" r:id="rId2"/>
    <sheet name="Planilha2" sheetId="3" r:id="rId3"/>
  </sheets>
  <definedNames>
    <definedName name="A">Planilha1!$UF$3</definedName>
  </definedNames>
  <calcPr calcId="191029"/>
</workbook>
</file>

<file path=xl/calcChain.xml><?xml version="1.0" encoding="utf-8"?>
<calcChain xmlns="http://schemas.openxmlformats.org/spreadsheetml/2006/main">
  <c r="E4" i="3" l="1"/>
  <c r="E5" i="3"/>
  <c r="D4" i="3"/>
  <c r="D5" i="3"/>
  <c r="D3" i="3"/>
  <c r="C4" i="3"/>
  <c r="C5" i="3"/>
  <c r="C3" i="3"/>
  <c r="B3" i="3"/>
  <c r="E3" i="3" s="1"/>
  <c r="B4" i="3"/>
  <c r="B5" i="3"/>
  <c r="K5" i="2"/>
  <c r="K6" i="2"/>
  <c r="K7" i="2"/>
  <c r="K8" i="2"/>
  <c r="K9" i="2"/>
  <c r="K10" i="2"/>
  <c r="K11" i="2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4" i="2"/>
  <c r="J4" i="2" s="1"/>
  <c r="K4" i="2" s="1"/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" i="1"/>
  <c r="F2" i="1" s="1"/>
</calcChain>
</file>

<file path=xl/sharedStrings.xml><?xml version="1.0" encoding="utf-8"?>
<sst xmlns="http://schemas.openxmlformats.org/spreadsheetml/2006/main" count="83" uniqueCount="70">
  <si>
    <t>NOME</t>
  </si>
  <si>
    <t>ANDRE GONCALVES DOS SANTOS</t>
  </si>
  <si>
    <t>ANDRÉ NUNES DA SILVA SANTAELA</t>
  </si>
  <si>
    <t>ANSELMO DE JESUS VIEIRA</t>
  </si>
  <si>
    <t>BEATRIZ SANTOS FARIA</t>
  </si>
  <si>
    <t>BRENNO SAMUEL LUCIN</t>
  </si>
  <si>
    <t>DIOGO QUIDIM DESTEFANO</t>
  </si>
  <si>
    <t>ENZO SILVA PIRES DA MOTTA</t>
  </si>
  <si>
    <t>ISIS DE OLIVEIRA NAZARIO</t>
  </si>
  <si>
    <t>JULIANA CONTRI DE SANTIS</t>
  </si>
  <si>
    <t>KAUE ELIAS RODRIGUES DE SOUZA</t>
  </si>
  <si>
    <t>LILIANE FRANCISCO DAS CANDEIAS</t>
  </si>
  <si>
    <t>LUCAS DOELITZSCH DA SILVA</t>
  </si>
  <si>
    <t>LUCAS YUKI LEROY MATSUMOTO SILVA</t>
  </si>
  <si>
    <t>LUCCA MARINHO CARVALHO</t>
  </si>
  <si>
    <t>LUIS FELIPE DE MATOS ARAUJO ALVES</t>
  </si>
  <si>
    <t>MANUELLA NASCIMENTO DE MEDEIROS</t>
  </si>
  <si>
    <t>MARCELLO ZANON SIBILLA</t>
  </si>
  <si>
    <t>MARCIO MARTINS PAIVA</t>
  </si>
  <si>
    <t>FUNÇÃO</t>
  </si>
  <si>
    <t>SALÁRIO</t>
  </si>
  <si>
    <t>DESCONTO</t>
  </si>
  <si>
    <t>GASTO MENSAL</t>
  </si>
  <si>
    <t>SALÁRIO L</t>
  </si>
  <si>
    <t>GPS ESPACIAL</t>
  </si>
  <si>
    <t>PILOTO 01</t>
  </si>
  <si>
    <t>CHEFE DE MANUTENÇÃO</t>
  </si>
  <si>
    <t>PILOTOA 02</t>
  </si>
  <si>
    <t>ESTÁGIÁRIO</t>
  </si>
  <si>
    <t>RANGER VERMELHO</t>
  </si>
  <si>
    <t>RANGER DOURADO</t>
  </si>
  <si>
    <t>ORACULO ESPACIAL</t>
  </si>
  <si>
    <t>CAPITÃ DA NAVE</t>
  </si>
  <si>
    <t>DJ ESPACIAL</t>
  </si>
  <si>
    <t>CHEFE DE ARMAMENTOS DA NAVE</t>
  </si>
  <si>
    <t>COZINHEIRO ESPACIAL</t>
  </si>
  <si>
    <t>CAÇADOR DE ALIENS VENENOSOS</t>
  </si>
  <si>
    <t>HERÓI ESPACIAL</t>
  </si>
  <si>
    <t>AJUDANTE DE HERÓI</t>
  </si>
  <si>
    <t>VILÃ ESPACIAL</t>
  </si>
  <si>
    <t>ENGENHEIRO DE DBRA ESPACIAL</t>
  </si>
  <si>
    <t>CHEFE DE DEFESA ESPACIAL</t>
  </si>
  <si>
    <t>UNI_ISIS</t>
  </si>
  <si>
    <t>ALUNOS</t>
  </si>
  <si>
    <t>DISIPLINAS</t>
  </si>
  <si>
    <t>FORÇA</t>
  </si>
  <si>
    <t>AGILIDADE</t>
  </si>
  <si>
    <t>DINHEIRO</t>
  </si>
  <si>
    <t>EQUIPAMENTOS</t>
  </si>
  <si>
    <t>PODERES</t>
  </si>
  <si>
    <t>FOFURA</t>
  </si>
  <si>
    <t>PETER PARKER</t>
  </si>
  <si>
    <t>BRUCE WAYNE</t>
  </si>
  <si>
    <t>CLARK KENT</t>
  </si>
  <si>
    <t>GOKU</t>
  </si>
  <si>
    <t>SONIC</t>
  </si>
  <si>
    <t>NATARÉ TEDESCO</t>
  </si>
  <si>
    <t>CURUPIRA</t>
  </si>
  <si>
    <t>BOLO FOFO</t>
  </si>
  <si>
    <t>INTELIGÊNCIA</t>
  </si>
  <si>
    <t>SOMA</t>
  </si>
  <si>
    <t>MÉDIA</t>
  </si>
  <si>
    <t>RESULTADO</t>
  </si>
  <si>
    <t>CANDIDATO</t>
  </si>
  <si>
    <t>TONY STARK</t>
  </si>
  <si>
    <t>AGOSTO</t>
  </si>
  <si>
    <t>SETEMBRO</t>
  </si>
  <si>
    <t>OUTUBRO</t>
  </si>
  <si>
    <t>THANOS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</si>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</sst>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>
    <font>
      <sz val="11"/>
      <name val="Calibri"/>
    </font>
    <font>
      <sz val="11"/>
      <name val="Calibri"/>
      <family val="2"/>
    </font>
    <font>
      <b/>
      <sz val="11"/>
      <color rgb="FFFFFF00"/>
      <name val="Papyrus"/>
      <family val="4"/>
    </font>
    <font>
      <b/>
      <sz val="11"/>
      <name val="Calibri"/>
      <family val="2"/>
    </font>
    <font>
      <sz val="11"/>
      <color rgb="FFFFFF00"/>
      <name val="Calibri"/>
      <family val="2"/>
    </font>
    <font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 applyNumberFormat="1" applyFont="1" applyProtection="1"/>
    <xf numFmtId="49" fontId="0" fillId="0" borderId="3" xfId="0" applyNumberFormat="1" applyFont="1" applyBorder="1" applyAlignment="1" applyProtection="1">
      <alignment horizontal="center"/>
    </xf>
    <xf numFmtId="49" fontId="0" fillId="0" borderId="1" xfId="0" applyNumberFormat="1" applyFont="1" applyBorder="1" applyAlignment="1" applyProtection="1">
      <alignment horizontal="center"/>
    </xf>
    <xf numFmtId="164" fontId="0" fillId="0" borderId="1" xfId="0" applyNumberFormat="1" applyFont="1" applyBorder="1" applyAlignment="1" applyProtection="1">
      <alignment horizontal="center"/>
    </xf>
    <xf numFmtId="44" fontId="0" fillId="0" borderId="1" xfId="1" applyFont="1" applyBorder="1" applyAlignment="1" applyProtection="1">
      <alignment horizontal="center"/>
    </xf>
    <xf numFmtId="164" fontId="0" fillId="0" borderId="4" xfId="0" applyNumberFormat="1" applyFont="1" applyBorder="1" applyAlignment="1" applyProtection="1">
      <alignment horizontal="center"/>
    </xf>
    <xf numFmtId="49" fontId="0" fillId="0" borderId="5" xfId="0" applyNumberFormat="1" applyFont="1" applyBorder="1" applyAlignment="1" applyProtection="1">
      <alignment horizontal="center"/>
    </xf>
    <xf numFmtId="49" fontId="0" fillId="0" borderId="6" xfId="0" applyNumberFormat="1" applyFont="1" applyBorder="1" applyAlignment="1" applyProtection="1">
      <alignment horizontal="center"/>
    </xf>
    <xf numFmtId="164" fontId="0" fillId="0" borderId="6" xfId="0" applyNumberFormat="1" applyFont="1" applyBorder="1" applyAlignment="1" applyProtection="1">
      <alignment horizontal="center"/>
    </xf>
    <xf numFmtId="44" fontId="0" fillId="0" borderId="6" xfId="1" applyFont="1" applyBorder="1" applyAlignment="1" applyProtection="1">
      <alignment horizontal="center"/>
    </xf>
    <xf numFmtId="164" fontId="0" fillId="0" borderId="7" xfId="0" applyNumberFormat="1" applyFont="1" applyBorder="1" applyAlignment="1" applyProtection="1">
      <alignment horizontal="center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Border="1" applyAlignment="1" applyProtection="1">
      <alignment horizontal="center" vertical="center"/>
    </xf>
    <xf numFmtId="0" fontId="0" fillId="0" borderId="1" xfId="0" applyNumberFormat="1" applyFont="1" applyBorder="1" applyProtection="1"/>
    <xf numFmtId="0" fontId="0" fillId="0" borderId="2" xfId="0" applyNumberFormat="1" applyFont="1" applyBorder="1" applyAlignment="1" applyProtection="1">
      <alignment horizontal="center" vertical="center"/>
    </xf>
    <xf numFmtId="0" fontId="0" fillId="0" borderId="9" xfId="0" applyNumberFormat="1" applyFont="1" applyBorder="1" applyAlignment="1" applyProtection="1">
      <alignment horizontal="center" vertical="center"/>
    </xf>
    <xf numFmtId="0" fontId="0" fillId="0" borderId="9" xfId="0" applyNumberFormat="1" applyFont="1" applyBorder="1" applyProtection="1"/>
    <xf numFmtId="0" fontId="0" fillId="0" borderId="3" xfId="0" applyNumberFormat="1" applyFont="1" applyBorder="1" applyAlignment="1" applyProtection="1">
      <alignment horizontal="center" vertical="center"/>
    </xf>
    <xf numFmtId="0" fontId="0" fillId="0" borderId="3" xfId="0" applyNumberFormat="1" applyFont="1" applyBorder="1" applyProtection="1"/>
    <xf numFmtId="0" fontId="0" fillId="0" borderId="5" xfId="0" applyNumberFormat="1" applyFont="1" applyBorder="1" applyProtection="1"/>
    <xf numFmtId="0" fontId="0" fillId="0" borderId="6" xfId="0" applyNumberFormat="1" applyFont="1" applyBorder="1" applyProtection="1"/>
    <xf numFmtId="0" fontId="0" fillId="0" borderId="10" xfId="0" applyNumberFormat="1" applyFont="1" applyBorder="1" applyProtection="1"/>
    <xf numFmtId="0" fontId="0" fillId="0" borderId="11" xfId="0" applyNumberFormat="1" applyFont="1" applyBorder="1" applyProtection="1"/>
    <xf numFmtId="0" fontId="0" fillId="0" borderId="8" xfId="0" applyNumberFormat="1" applyFont="1" applyBorder="1" applyProtection="1"/>
    <xf numFmtId="0" fontId="0" fillId="0" borderId="12" xfId="0" applyNumberFormat="1" applyFont="1" applyBorder="1" applyProtection="1"/>
    <xf numFmtId="0" fontId="0" fillId="0" borderId="13" xfId="0" applyNumberFormat="1" applyFont="1" applyBorder="1" applyProtection="1"/>
    <xf numFmtId="0" fontId="0" fillId="0" borderId="14" xfId="0" applyNumberFormat="1" applyFont="1" applyBorder="1" applyAlignment="1" applyProtection="1">
      <alignment horizontal="center" vertical="center"/>
    </xf>
    <xf numFmtId="0" fontId="0" fillId="0" borderId="15" xfId="0" applyNumberFormat="1" applyFont="1" applyBorder="1" applyAlignment="1" applyProtection="1">
      <alignment horizontal="center" vertical="center"/>
    </xf>
    <xf numFmtId="0" fontId="0" fillId="0" borderId="15" xfId="0" applyNumberFormat="1" applyFont="1" applyBorder="1" applyProtection="1"/>
    <xf numFmtId="0" fontId="0" fillId="0" borderId="16" xfId="0" applyNumberFormat="1" applyFont="1" applyBorder="1" applyProtection="1"/>
    <xf numFmtId="2" fontId="0" fillId="0" borderId="13" xfId="0" applyNumberFormat="1" applyFont="1" applyBorder="1" applyProtection="1"/>
    <xf numFmtId="0" fontId="0" fillId="0" borderId="0" xfId="0" applyNumberFormat="1" applyFont="1" applyBorder="1" applyProtection="1"/>
    <xf numFmtId="0" fontId="3" fillId="0" borderId="2" xfId="0" applyNumberFormat="1" applyFont="1" applyBorder="1" applyAlignment="1" applyProtection="1">
      <alignment horizontal="center" vertical="center"/>
    </xf>
    <xf numFmtId="0" fontId="3" fillId="0" borderId="9" xfId="0" applyNumberFormat="1" applyFont="1" applyBorder="1" applyAlignment="1" applyProtection="1">
      <alignment horizontal="center" vertical="center"/>
    </xf>
    <xf numFmtId="0" fontId="3" fillId="0" borderId="3" xfId="0" applyNumberFormat="1" applyFont="1" applyBorder="1" applyAlignment="1" applyProtection="1">
      <alignment horizontal="center" vertical="center"/>
    </xf>
    <xf numFmtId="0" fontId="3" fillId="0" borderId="1" xfId="0" applyNumberFormat="1" applyFont="1" applyBorder="1" applyAlignment="1" applyProtection="1">
      <alignment horizontal="center" vertical="center"/>
    </xf>
    <xf numFmtId="0" fontId="5" fillId="4" borderId="3" xfId="0" applyNumberFormat="1" applyFont="1" applyFill="1" applyBorder="1" applyProtection="1"/>
    <xf numFmtId="0" fontId="1" fillId="0" borderId="0" xfId="0" applyNumberFormat="1" applyFont="1" applyProtection="1"/>
    <xf numFmtId="0" fontId="4" fillId="3" borderId="18" xfId="0" applyNumberFormat="1" applyFont="1" applyFill="1" applyBorder="1" applyProtection="1"/>
    <xf numFmtId="0" fontId="4" fillId="5" borderId="19" xfId="0" applyNumberFormat="1" applyFont="1" applyFill="1" applyBorder="1" applyProtection="1"/>
    <xf numFmtId="0" fontId="4" fillId="6" borderId="1" xfId="0" applyNumberFormat="1" applyFont="1" applyFill="1" applyBorder="1" applyProtection="1"/>
    <xf numFmtId="0" fontId="5" fillId="4" borderId="21" xfId="0" applyNumberFormat="1" applyFont="1" applyFill="1" applyBorder="1" applyProtection="1"/>
    <xf numFmtId="0" fontId="4" fillId="3" borderId="22" xfId="0" applyNumberFormat="1" applyFont="1" applyFill="1" applyBorder="1" applyProtection="1"/>
    <xf numFmtId="0" fontId="4" fillId="5" borderId="17" xfId="0" applyNumberFormat="1" applyFont="1" applyFill="1" applyBorder="1" applyProtection="1"/>
    <xf numFmtId="0" fontId="0" fillId="0" borderId="23" xfId="0" applyNumberFormat="1" applyFont="1" applyBorder="1" applyProtection="1"/>
    <xf numFmtId="0" fontId="0" fillId="0" borderId="24" xfId="0" applyNumberFormat="1" applyFont="1" applyBorder="1" applyProtection="1"/>
    <xf numFmtId="0" fontId="0" fillId="0" borderId="25" xfId="0" applyNumberFormat="1" applyFont="1" applyBorder="1" applyProtection="1"/>
    <xf numFmtId="0" fontId="0" fillId="0" borderId="26" xfId="0" applyNumberFormat="1" applyFont="1" applyBorder="1" applyProtection="1"/>
    <xf numFmtId="0" fontId="0" fillId="0" borderId="27" xfId="0" applyNumberFormat="1" applyFont="1" applyBorder="1" applyProtection="1"/>
    <xf numFmtId="0" fontId="0" fillId="0" borderId="28" xfId="0" applyNumberFormat="1" applyFont="1" applyBorder="1" applyProtection="1"/>
    <xf numFmtId="0" fontId="0" fillId="0" borderId="29" xfId="0" applyNumberFormat="1" applyFont="1" applyBorder="1" applyProtection="1"/>
    <xf numFmtId="0" fontId="0" fillId="0" borderId="30" xfId="0" applyNumberFormat="1" applyFont="1" applyBorder="1" applyProtection="1"/>
    <xf numFmtId="0" fontId="0" fillId="0" borderId="31" xfId="0" applyNumberFormat="1" applyFont="1" applyBorder="1" applyProtection="1"/>
    <xf numFmtId="0" fontId="0" fillId="0" borderId="32" xfId="0" applyNumberFormat="1" applyFont="1" applyBorder="1" applyProtection="1"/>
    <xf numFmtId="0" fontId="0" fillId="0" borderId="33" xfId="0" applyNumberFormat="1" applyFont="1" applyBorder="1" applyProtection="1"/>
    <xf numFmtId="0" fontId="0" fillId="0" borderId="34" xfId="0" applyNumberFormat="1" applyFont="1" applyBorder="1" applyProtection="1"/>
    <xf numFmtId="0" fontId="0" fillId="0" borderId="20" xfId="0" applyNumberFormat="1" applyFont="1" applyBorder="1" applyProtection="1"/>
    <xf numFmtId="0" fontId="0" fillId="0" borderId="35" xfId="0" applyNumberFormat="1" applyFont="1" applyBorder="1" applyProtection="1"/>
    <xf numFmtId="0" fontId="0" fillId="0" borderId="36" xfId="0" applyNumberFormat="1" applyFont="1" applyBorder="1" applyProtection="1"/>
    <xf numFmtId="0" fontId="0" fillId="6" borderId="20" xfId="0" applyNumberFormat="1" applyFont="1" applyFill="1" applyBorder="1" applyProtection="1"/>
    <xf numFmtId="0" fontId="0" fillId="0" borderId="37" xfId="0" applyNumberFormat="1" applyFont="1" applyBorder="1" applyProtection="1"/>
    <xf numFmtId="0" fontId="3" fillId="0" borderId="0" xfId="0" applyNumberFormat="1" applyFont="1" applyBorder="1" applyProtection="1"/>
    <xf numFmtId="0" fontId="3" fillId="0" borderId="12" xfId="0" applyNumberFormat="1" applyFont="1" applyBorder="1" applyAlignment="1" applyProtection="1">
      <alignment horizontal="center" vertical="center"/>
    </xf>
    <xf numFmtId="0" fontId="3" fillId="0" borderId="13" xfId="0" applyNumberFormat="1" applyFont="1" applyBorder="1" applyAlignment="1" applyProtection="1">
      <alignment horizontal="center" vertical="center"/>
    </xf>
    <xf numFmtId="0" fontId="0" fillId="0" borderId="38" xfId="0" applyNumberFormat="1" applyFont="1" applyBorder="1" applyProtection="1"/>
    <xf numFmtId="0" fontId="3" fillId="0" borderId="39" xfId="0" applyNumberFormat="1" applyFont="1" applyBorder="1" applyAlignment="1" applyProtection="1">
      <alignment horizontal="center" vertical="center"/>
    </xf>
    <xf numFmtId="0" fontId="3" fillId="0" borderId="40" xfId="0" applyNumberFormat="1" applyFont="1" applyBorder="1" applyAlignment="1" applyProtection="1">
      <alignment horizontal="center" vertical="center"/>
    </xf>
    <xf numFmtId="0" fontId="0" fillId="0" borderId="40" xfId="0" applyNumberFormat="1" applyFont="1" applyBorder="1" applyProtection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'Nave espacial'!$C$1</c:f>
              <c:strCache>
                <c:ptCount val="1"/>
                <c:pt idx="0">
                  <c:v>SALÁRIO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'Nave espacial'!$A$2:$A$19</c:f>
              <c:strCache>
                <c:ptCount val="18"/>
                <c:pt idx="0">
                  <c:v>ANDRE GONCALVES DOS SANTOS</c:v>
                </c:pt>
                <c:pt idx="1">
                  <c:v>ANDRÉ NUNES DA SILVA SANTAELA</c:v>
                </c:pt>
                <c:pt idx="2">
                  <c:v>ANSELMO DE JESUS VIEIRA</c:v>
                </c:pt>
                <c:pt idx="3">
                  <c:v>BEATRIZ SANTOS FARIA</c:v>
                </c:pt>
                <c:pt idx="4">
                  <c:v>BRENNO SAMUEL LUCIN</c:v>
                </c:pt>
                <c:pt idx="5">
                  <c:v>DIOGO QUIDIM DESTEFANO</c:v>
                </c:pt>
                <c:pt idx="6">
                  <c:v>ENZO SILVA PIRES DA MOTTA</c:v>
                </c:pt>
                <c:pt idx="7">
                  <c:v>ISIS DE OLIVEIRA NAZARIO</c:v>
                </c:pt>
                <c:pt idx="8">
                  <c:v>JULIANA CONTRI DE SANTIS</c:v>
                </c:pt>
                <c:pt idx="9">
                  <c:v>KAUE ELIAS RODRIGUES DE SOUZA</c:v>
                </c:pt>
                <c:pt idx="10">
                  <c:v>LILIANE FRANCISCO DAS CANDEIAS</c:v>
                </c:pt>
                <c:pt idx="11">
                  <c:v>LUCAS DOELITZSCH DA SILVA</c:v>
                </c:pt>
                <c:pt idx="12">
                  <c:v>LUCAS YUKI LEROY MATSUMOTO SILVA</c:v>
                </c:pt>
                <c:pt idx="13">
                  <c:v>LUCCA MARINHO CARVALHO</c:v>
                </c:pt>
                <c:pt idx="14">
                  <c:v>LUIS FELIPE DE MATOS ARAUJO ALVES</c:v>
                </c:pt>
                <c:pt idx="15">
                  <c:v>MANUELLA NASCIMENTO DE MEDEIROS</c:v>
                </c:pt>
                <c:pt idx="16">
                  <c:v>MARCELLO ZANON SIBILLA</c:v>
                </c:pt>
                <c:pt idx="17">
                  <c:v>MARCIO MARTINS PAIVA</c:v>
                </c:pt>
              </c:strCache>
            </c:strRef>
          </c:cat>
          <c:val>
            <c:numRef>
              <c:f>'Nave espacial'!$C$2:$C$19</c:f>
              <c:numCache>
                <c:formatCode>_-[$R$-416]\ * #,##0.00_-;\-[$R$-416]\ * #,##0.00_-;_-[$R$-416]\ * "-"??_-;_-@_-</c:formatCode>
                <c:ptCount val="18"/>
                <c:pt idx="0">
                  <c:v>9000</c:v>
                </c:pt>
                <c:pt idx="1">
                  <c:v>12000</c:v>
                </c:pt>
                <c:pt idx="2">
                  <c:v>57900</c:v>
                </c:pt>
                <c:pt idx="3">
                  <c:v>6000</c:v>
                </c:pt>
                <c:pt idx="4">
                  <c:v>1000</c:v>
                </c:pt>
                <c:pt idx="5">
                  <c:v>8000</c:v>
                </c:pt>
                <c:pt idx="6">
                  <c:v>4000</c:v>
                </c:pt>
                <c:pt idx="7">
                  <c:v>18000</c:v>
                </c:pt>
                <c:pt idx="8">
                  <c:v>50000</c:v>
                </c:pt>
                <c:pt idx="9">
                  <c:v>6000</c:v>
                </c:pt>
                <c:pt idx="10">
                  <c:v>150000</c:v>
                </c:pt>
                <c:pt idx="11">
                  <c:v>3000</c:v>
                </c:pt>
                <c:pt idx="12">
                  <c:v>200000</c:v>
                </c:pt>
                <c:pt idx="13">
                  <c:v>100000</c:v>
                </c:pt>
                <c:pt idx="14">
                  <c:v>50000</c:v>
                </c:pt>
                <c:pt idx="15">
                  <c:v>100000</c:v>
                </c:pt>
                <c:pt idx="16">
                  <c:v>24000</c:v>
                </c:pt>
                <c:pt idx="17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B-4A6C-A1D3-AB17915F2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shape val="box"/>
        <c:axId val="568389647"/>
        <c:axId val="432446015"/>
        <c:axId val="0"/>
      </c:bar3DChart>
      <c:catAx>
        <c:axId val="5683896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2446015"/>
        <c:crosses val="autoZero"/>
        <c:auto val="1"/>
        <c:lblAlgn val="ctr"/>
        <c:lblOffset val="100"/>
        <c:noMultiLvlLbl val="0"/>
      </c:catAx>
      <c:valAx>
        <c:axId val="43244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R$-416]\ * #,##0.00_-;\-[$R$-416]\ * #,##0.00_-;_-[$R$-416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38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Planilha1!$A$4:$A$11</c:f>
              <c:strCache>
                <c:ptCount val="8"/>
                <c:pt idx="0">
                  <c:v>PETER PARKER</c:v>
                </c:pt>
                <c:pt idx="1">
                  <c:v>BRUCE WAYNE</c:v>
                </c:pt>
                <c:pt idx="2">
                  <c:v>CLARK KENT</c:v>
                </c:pt>
                <c:pt idx="3">
                  <c:v>GOKU</c:v>
                </c:pt>
                <c:pt idx="4">
                  <c:v>SONIC</c:v>
                </c:pt>
                <c:pt idx="5">
                  <c:v>NATARÉ TEDESCO</c:v>
                </c:pt>
                <c:pt idx="6">
                  <c:v>CURUPIRA</c:v>
                </c:pt>
                <c:pt idx="7">
                  <c:v>BOLO FOFO</c:v>
                </c:pt>
              </c:strCache>
            </c:strRef>
          </c:cat>
          <c:val>
            <c:numRef>
              <c:f>Planilha1!$I$4:$I$11</c:f>
              <c:numCache>
                <c:formatCode>General</c:formatCode>
                <c:ptCount val="8"/>
                <c:pt idx="0">
                  <c:v>49</c:v>
                </c:pt>
                <c:pt idx="1">
                  <c:v>47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26</c:v>
                </c:pt>
                <c:pt idx="6">
                  <c:v>27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5-40A4-9DC8-DF9155906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5227584"/>
        <c:axId val="583817616"/>
        <c:axId val="0"/>
      </c:bar3DChart>
      <c:catAx>
        <c:axId val="22522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3817616"/>
        <c:crosses val="autoZero"/>
        <c:auto val="1"/>
        <c:lblAlgn val="ctr"/>
        <c:lblOffset val="100"/>
        <c:noMultiLvlLbl val="0"/>
      </c:catAx>
      <c:valAx>
        <c:axId val="58381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52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Planilha1!$A$4:$A$11</c:f>
              <c:strCache>
                <c:ptCount val="8"/>
                <c:pt idx="0">
                  <c:v>PETER PARKER</c:v>
                </c:pt>
                <c:pt idx="1">
                  <c:v>BRUCE WAYNE</c:v>
                </c:pt>
                <c:pt idx="2">
                  <c:v>CLARK KENT</c:v>
                </c:pt>
                <c:pt idx="3">
                  <c:v>GOKU</c:v>
                </c:pt>
                <c:pt idx="4">
                  <c:v>SONIC</c:v>
                </c:pt>
                <c:pt idx="5">
                  <c:v>NATARÉ TEDESCO</c:v>
                </c:pt>
                <c:pt idx="6">
                  <c:v>CURUPIRA</c:v>
                </c:pt>
                <c:pt idx="7">
                  <c:v>BOLO FOFO</c:v>
                </c:pt>
              </c:strCache>
            </c:strRef>
          </c:cat>
          <c:val>
            <c:numRef>
              <c:f>Planilha1!$J$4:$J$11</c:f>
              <c:numCache>
                <c:formatCode>0.00</c:formatCode>
                <c:ptCount val="8"/>
                <c:pt idx="0">
                  <c:v>7</c:v>
                </c:pt>
                <c:pt idx="1">
                  <c:v>6.7142857142857144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3.7142857142857144</c:v>
                </c:pt>
                <c:pt idx="6">
                  <c:v>3.8571428571428572</c:v>
                </c:pt>
                <c:pt idx="7">
                  <c:v>2.8571428571428572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3-45F6-972F-E280D0461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9267600"/>
        <c:axId val="588632944"/>
        <c:axId val="0"/>
      </c:bar3DChart>
      <c:catAx>
        <c:axId val="71926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8632944"/>
        <c:crosses val="autoZero"/>
        <c:auto val="1"/>
        <c:lblAlgn val="ctr"/>
        <c:lblOffset val="100"/>
        <c:noMultiLvlLbl val="0"/>
      </c:catAx>
      <c:valAx>
        <c:axId val="58863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926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Planilha2!$A$3</c:f>
              <c:strCache>
                <c:ptCount val="1"/>
                <c:pt idx="0">
                  <c:v>BRUCE WAYNE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Planilha2!$B$3:$E$3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9</c:v>
                </c:pt>
                <c:pt idx="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0F-41A3-AFE8-389E530FAEED}"/>
            </c:ext>
          </c:extLst>
        </c:ser>
        <c:ser>
          <c:idx val="1"/>
          <c:order val="1"/>
          <c:tx>
            <c:strRef>
              <c:f>Planilha2!$A$4</c:f>
              <c:strCache>
                <c:ptCount val="1"/>
                <c:pt idx="0">
                  <c:v>TONY STARK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Planilha2!$B$4:$E$4</c:f>
              <c:numCache>
                <c:formatCode>General</c:formatCode>
                <c:ptCount val="4"/>
                <c:pt idx="0">
                  <c:v>10</c:v>
                </c:pt>
                <c:pt idx="1">
                  <c:v>6</c:v>
                </c:pt>
                <c:pt idx="2">
                  <c:v>4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0F-41A3-AFE8-389E530FAEED}"/>
            </c:ext>
          </c:extLst>
        </c:ser>
        <c:ser>
          <c:idx val="2"/>
          <c:order val="2"/>
          <c:tx>
            <c:strRef>
              <c:f>Planilha2!$A$5</c:f>
              <c:strCache>
                <c:ptCount val="1"/>
                <c:pt idx="0">
                  <c:v>THANOS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Planilha2!$B$5:$E$5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1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0F-41A3-AFE8-389E530FA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140096"/>
        <c:axId val="719981184"/>
      </c:lineChart>
      <c:catAx>
        <c:axId val="706140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9981184"/>
        <c:crosses val="autoZero"/>
        <c:auto val="1"/>
        <c:lblAlgn val="ctr"/>
        <c:lblOffset val="100"/>
        <c:noMultiLvlLbl val="0"/>
      </c:catAx>
      <c:valAx>
        <c:axId val="71998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614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19</xdr:row>
      <xdr:rowOff>82550</xdr:rowOff>
    </xdr:from>
    <xdr:to>
      <xdr:col>6</xdr:col>
      <xdr:colOff>298450</xdr:colOff>
      <xdr:row>39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7C3410-F820-4040-A691-E376A8C44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822325</xdr:colOff>
      <xdr:row>11</xdr:row>
      <xdr:rowOff>25400</xdr:rowOff>
    </xdr:from>
    <xdr:to>
      <xdr:col>7</xdr:col>
      <xdr:colOff>41275</xdr:colOff>
      <xdr:row>26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285BD0-6B17-4737-A4FB-981A252BE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441325</xdr:colOff>
      <xdr:row>10</xdr:row>
      <xdr:rowOff>184150</xdr:rowOff>
    </xdr:from>
    <xdr:to>
      <xdr:col>15</xdr:col>
      <xdr:colOff>561975</xdr:colOff>
      <xdr:row>25</xdr:row>
      <xdr:rowOff>158750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9AE218-3476-42AD-AB48-3B79415E7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187325</xdr:colOff>
      <xdr:row>5</xdr:row>
      <xdr:rowOff>38100</xdr:rowOff>
    </xdr:from>
    <xdr:to>
      <xdr:col>22</xdr:col>
      <xdr:colOff>492125</xdr:colOff>
      <xdr:row>20</xdr:row>
      <xdr:rowOff>6350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598687-C9C3-4F77-8277-6E6F935B7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workbookViewId="0">
      <selection activeCell="C12" sqref="C12"/>
    </sheetView>
  </sheetViews>
  <sheetFormatPr defaultRowHeight="14.5"/>
  <cols>
    <col min="1" max="1" width="36.7265625" customWidth="1"/>
    <col min="2" max="2" width="31.7265625" bestFit="1" customWidth="1"/>
    <col min="3" max="3" width="13.7265625" bestFit="1" customWidth="1"/>
    <col min="4" max="4" width="19.453125" customWidth="1"/>
    <col min="5" max="5" width="25.26953125" customWidth="1"/>
    <col min="6" max="6" width="15.81640625" customWidth="1"/>
  </cols>
  <sheetData>
    <row r="1" spans="1:6" ht="18">
      <c r="A1" s="11" t="s">
        <v>0</v>
      </c>
      <c r="B1" s="11" t="s">
        <v>19</v>
      </c>
      <c r="C1" s="11" t="s">
        <v>20</v>
      </c>
      <c r="D1" s="11" t="s">
        <v>21</v>
      </c>
      <c r="E1" s="11" t="s">
        <v>22</v>
      </c>
      <c r="F1" s="11" t="s">
        <v>23</v>
      </c>
    </row>
    <row r="2" spans="1:6">
      <c r="A2" s="1" t="s">
        <v>1</v>
      </c>
      <c r="B2" s="2" t="s">
        <v>24</v>
      </c>
      <c r="C2" s="3">
        <v>9000</v>
      </c>
      <c r="D2" s="4">
        <f>(C2*2)/100</f>
        <v>180</v>
      </c>
      <c r="E2" s="3">
        <v>8000</v>
      </c>
      <c r="F2" s="5">
        <f>C2-D2-E2</f>
        <v>820</v>
      </c>
    </row>
    <row r="3" spans="1:6">
      <c r="A3" s="1" t="s">
        <v>2</v>
      </c>
      <c r="B3" s="2" t="s">
        <v>25</v>
      </c>
      <c r="C3" s="3">
        <v>12000</v>
      </c>
      <c r="D3" s="4">
        <f t="shared" ref="D3:D19" si="0">(C3*2)/100</f>
        <v>240</v>
      </c>
      <c r="E3" s="3">
        <v>500</v>
      </c>
      <c r="F3" s="5">
        <f t="shared" ref="F3:F19" si="1">C3-D3-E3</f>
        <v>11260</v>
      </c>
    </row>
    <row r="4" spans="1:6">
      <c r="A4" s="1" t="s">
        <v>3</v>
      </c>
      <c r="B4" s="2" t="s">
        <v>26</v>
      </c>
      <c r="C4" s="3">
        <v>57900</v>
      </c>
      <c r="D4" s="4">
        <f t="shared" si="0"/>
        <v>1158</v>
      </c>
      <c r="E4" s="3">
        <v>20000</v>
      </c>
      <c r="F4" s="5">
        <f t="shared" si="1"/>
        <v>36742</v>
      </c>
    </row>
    <row r="5" spans="1:6">
      <c r="A5" s="1" t="s">
        <v>4</v>
      </c>
      <c r="B5" s="2" t="s">
        <v>27</v>
      </c>
      <c r="C5" s="3">
        <v>6000</v>
      </c>
      <c r="D5" s="4">
        <f t="shared" si="0"/>
        <v>120</v>
      </c>
      <c r="E5" s="3">
        <v>5000</v>
      </c>
      <c r="F5" s="5">
        <f t="shared" si="1"/>
        <v>880</v>
      </c>
    </row>
    <row r="6" spans="1:6">
      <c r="A6" s="1" t="s">
        <v>5</v>
      </c>
      <c r="B6" s="2" t="s">
        <v>28</v>
      </c>
      <c r="C6" s="3">
        <v>1000</v>
      </c>
      <c r="D6" s="4">
        <f t="shared" si="0"/>
        <v>20</v>
      </c>
      <c r="E6" s="3">
        <v>500</v>
      </c>
      <c r="F6" s="5">
        <f t="shared" si="1"/>
        <v>480</v>
      </c>
    </row>
    <row r="7" spans="1:6">
      <c r="A7" s="1" t="s">
        <v>6</v>
      </c>
      <c r="B7" s="2" t="s">
        <v>29</v>
      </c>
      <c r="C7" s="3">
        <v>8000</v>
      </c>
      <c r="D7" s="4">
        <f t="shared" si="0"/>
        <v>160</v>
      </c>
      <c r="E7" s="3">
        <v>3000</v>
      </c>
      <c r="F7" s="5">
        <f t="shared" si="1"/>
        <v>4840</v>
      </c>
    </row>
    <row r="8" spans="1:6">
      <c r="A8" s="1" t="s">
        <v>7</v>
      </c>
      <c r="B8" s="2" t="s">
        <v>30</v>
      </c>
      <c r="C8" s="3">
        <v>4000</v>
      </c>
      <c r="D8" s="4">
        <f t="shared" si="0"/>
        <v>80</v>
      </c>
      <c r="E8" s="3">
        <v>50</v>
      </c>
      <c r="F8" s="5">
        <f t="shared" si="1"/>
        <v>3870</v>
      </c>
    </row>
    <row r="9" spans="1:6">
      <c r="A9" s="1" t="s">
        <v>8</v>
      </c>
      <c r="B9" s="2" t="s">
        <v>31</v>
      </c>
      <c r="C9" s="3">
        <v>18000</v>
      </c>
      <c r="D9" s="4">
        <f t="shared" si="0"/>
        <v>360</v>
      </c>
      <c r="E9" s="3">
        <v>2000</v>
      </c>
      <c r="F9" s="5">
        <f t="shared" si="1"/>
        <v>15640</v>
      </c>
    </row>
    <row r="10" spans="1:6">
      <c r="A10" s="1" t="s">
        <v>9</v>
      </c>
      <c r="B10" s="2" t="s">
        <v>32</v>
      </c>
      <c r="C10" s="3">
        <v>50000</v>
      </c>
      <c r="D10" s="4">
        <f t="shared" si="0"/>
        <v>1000</v>
      </c>
      <c r="E10" s="3">
        <v>8000</v>
      </c>
      <c r="F10" s="5">
        <f t="shared" si="1"/>
        <v>41000</v>
      </c>
    </row>
    <row r="11" spans="1:6">
      <c r="A11" s="1" t="s">
        <v>10</v>
      </c>
      <c r="B11" s="2" t="s">
        <v>33</v>
      </c>
      <c r="C11" s="3">
        <v>6000</v>
      </c>
      <c r="D11" s="4">
        <f t="shared" si="0"/>
        <v>120</v>
      </c>
      <c r="E11" s="3">
        <v>3000</v>
      </c>
      <c r="F11" s="5">
        <f t="shared" si="1"/>
        <v>2880</v>
      </c>
    </row>
    <row r="12" spans="1:6">
      <c r="A12" s="1" t="s">
        <v>11</v>
      </c>
      <c r="B12" s="2" t="s">
        <v>34</v>
      </c>
      <c r="C12" s="3">
        <v>150000</v>
      </c>
      <c r="D12" s="4">
        <f t="shared" si="0"/>
        <v>3000</v>
      </c>
      <c r="E12" s="3">
        <v>80000</v>
      </c>
      <c r="F12" s="5">
        <f t="shared" si="1"/>
        <v>67000</v>
      </c>
    </row>
    <row r="13" spans="1:6">
      <c r="A13" s="1" t="s">
        <v>12</v>
      </c>
      <c r="B13" s="2" t="s">
        <v>35</v>
      </c>
      <c r="C13" s="3">
        <v>3000</v>
      </c>
      <c r="D13" s="4">
        <f t="shared" si="0"/>
        <v>60</v>
      </c>
      <c r="E13" s="3">
        <v>500</v>
      </c>
      <c r="F13" s="5">
        <f t="shared" si="1"/>
        <v>2440</v>
      </c>
    </row>
    <row r="14" spans="1:6">
      <c r="A14" s="1" t="s">
        <v>13</v>
      </c>
      <c r="B14" s="2" t="s">
        <v>36</v>
      </c>
      <c r="C14" s="3">
        <v>200000</v>
      </c>
      <c r="D14" s="4">
        <f t="shared" si="0"/>
        <v>4000</v>
      </c>
      <c r="E14" s="3">
        <v>9000</v>
      </c>
      <c r="F14" s="5">
        <f t="shared" si="1"/>
        <v>187000</v>
      </c>
    </row>
    <row r="15" spans="1:6">
      <c r="A15" s="1" t="s">
        <v>14</v>
      </c>
      <c r="B15" s="2" t="s">
        <v>37</v>
      </c>
      <c r="C15" s="3">
        <v>100000</v>
      </c>
      <c r="D15" s="4">
        <f t="shared" si="0"/>
        <v>2000</v>
      </c>
      <c r="E15" s="3">
        <v>50000</v>
      </c>
      <c r="F15" s="5">
        <f t="shared" si="1"/>
        <v>48000</v>
      </c>
    </row>
    <row r="16" spans="1:6">
      <c r="A16" s="1" t="s">
        <v>15</v>
      </c>
      <c r="B16" s="2" t="s">
        <v>38</v>
      </c>
      <c r="C16" s="3">
        <v>50000</v>
      </c>
      <c r="D16" s="4">
        <f t="shared" si="0"/>
        <v>1000</v>
      </c>
      <c r="E16" s="3">
        <v>500</v>
      </c>
      <c r="F16" s="5">
        <f t="shared" si="1"/>
        <v>48500</v>
      </c>
    </row>
    <row r="17" spans="1:6">
      <c r="A17" s="1" t="s">
        <v>16</v>
      </c>
      <c r="B17" s="2" t="s">
        <v>39</v>
      </c>
      <c r="C17" s="3">
        <v>100000</v>
      </c>
      <c r="D17" s="4">
        <f t="shared" si="0"/>
        <v>2000</v>
      </c>
      <c r="E17" s="3">
        <v>35000</v>
      </c>
      <c r="F17" s="5">
        <f t="shared" si="1"/>
        <v>63000</v>
      </c>
    </row>
    <row r="18" spans="1:6">
      <c r="A18" s="1" t="s">
        <v>17</v>
      </c>
      <c r="B18" s="2" t="s">
        <v>40</v>
      </c>
      <c r="C18" s="3">
        <v>24000</v>
      </c>
      <c r="D18" s="4">
        <f t="shared" si="0"/>
        <v>480</v>
      </c>
      <c r="E18" s="3">
        <v>7000</v>
      </c>
      <c r="F18" s="5">
        <f t="shared" si="1"/>
        <v>16520</v>
      </c>
    </row>
    <row r="19" spans="1:6" ht="15" thickBot="1">
      <c r="A19" s="6" t="s">
        <v>18</v>
      </c>
      <c r="B19" s="7" t="s">
        <v>41</v>
      </c>
      <c r="C19" s="3">
        <v>30000</v>
      </c>
      <c r="D19" s="9">
        <f t="shared" si="0"/>
        <v>600</v>
      </c>
      <c r="E19" s="8">
        <v>15000</v>
      </c>
      <c r="F19" s="10">
        <f t="shared" si="1"/>
        <v>14400</v>
      </c>
    </row>
  </sheetData>
  <printOptions gridLines="1"/>
  <pageMargins left="0.511811024" right="0.511811024" top="0.78740157499999996" bottom="0.78740157499999996" header="0.31496062000000002" footer="0.31496062000000002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BFEB-E05F-42BD-8736-5018787AA749}">
  <dimension ref="A1:K11"/>
  <sheetViews>
    <sheetView zoomScaleNormal="100" workbookViewId="0">
      <selection activeCell="L6" sqref="L6"/>
    </sheetView>
  </sheetViews>
  <sheetFormatPr defaultRowHeight="14.5"/>
  <cols>
    <col min="1" max="1" width="15.7265625" bestFit="1" customWidth="1"/>
    <col min="2" max="2" width="6.453125" bestFit="1" customWidth="1"/>
    <col min="3" max="3" width="12.36328125" bestFit="1" customWidth="1"/>
    <col min="4" max="4" width="9.90625" bestFit="1" customWidth="1"/>
    <col min="5" max="5" width="9.1796875" bestFit="1" customWidth="1"/>
    <col min="6" max="6" width="14.54296875" bestFit="1" customWidth="1"/>
    <col min="7" max="7" width="8.453125" bestFit="1" customWidth="1"/>
    <col min="8" max="8" width="7.54296875" bestFit="1" customWidth="1"/>
    <col min="9" max="9" width="6" bestFit="1" customWidth="1"/>
    <col min="10" max="10" width="6.54296875" bestFit="1" customWidth="1"/>
    <col min="11" max="11" width="11.26953125" bestFit="1" customWidth="1"/>
  </cols>
  <sheetData>
    <row r="1" spans="1:11">
      <c r="A1" s="14" t="s">
        <v>42</v>
      </c>
      <c r="B1" s="15"/>
      <c r="C1" s="15"/>
      <c r="D1" s="15"/>
      <c r="E1" s="15"/>
      <c r="F1" s="15"/>
      <c r="G1" s="15"/>
      <c r="H1" s="15"/>
      <c r="I1" s="16"/>
      <c r="J1" s="24"/>
      <c r="K1" s="26" t="s">
        <v>62</v>
      </c>
    </row>
    <row r="2" spans="1:11">
      <c r="A2" s="17" t="s">
        <v>43</v>
      </c>
      <c r="B2" s="12" t="s">
        <v>44</v>
      </c>
      <c r="C2" s="12"/>
      <c r="D2" s="12"/>
      <c r="E2" s="12"/>
      <c r="F2" s="12"/>
      <c r="G2" s="12"/>
      <c r="H2" s="12"/>
      <c r="I2" s="13"/>
      <c r="J2" s="25"/>
      <c r="K2" s="27"/>
    </row>
    <row r="3" spans="1:11">
      <c r="A3" s="17"/>
      <c r="B3" s="13" t="s">
        <v>45</v>
      </c>
      <c r="C3" s="13" t="s">
        <v>59</v>
      </c>
      <c r="D3" s="13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3" t="s">
        <v>60</v>
      </c>
      <c r="J3" s="25" t="s">
        <v>61</v>
      </c>
      <c r="K3" s="28"/>
    </row>
    <row r="4" spans="1:11">
      <c r="A4" s="18" t="s">
        <v>51</v>
      </c>
      <c r="B4" s="13">
        <v>10</v>
      </c>
      <c r="C4" s="13">
        <v>9</v>
      </c>
      <c r="D4" s="13">
        <v>10</v>
      </c>
      <c r="E4" s="13">
        <v>1</v>
      </c>
      <c r="F4" s="13">
        <v>7</v>
      </c>
      <c r="G4" s="13">
        <v>10</v>
      </c>
      <c r="H4" s="13">
        <v>2</v>
      </c>
      <c r="I4" s="13">
        <f>SUM(B4:H4)</f>
        <v>49</v>
      </c>
      <c r="J4" s="30">
        <f>AVERAGE(I4/7)</f>
        <v>7</v>
      </c>
      <c r="K4" s="28" t="str">
        <f>IF(J4&gt;6.9,("APROVADO"),("REPROVADO"))</f>
        <v>APROVADO</v>
      </c>
    </row>
    <row r="5" spans="1:11">
      <c r="A5" s="18" t="s">
        <v>52</v>
      </c>
      <c r="B5" s="13">
        <v>8</v>
      </c>
      <c r="C5" s="13">
        <v>10</v>
      </c>
      <c r="D5" s="13">
        <v>9</v>
      </c>
      <c r="E5" s="13">
        <v>10</v>
      </c>
      <c r="F5" s="13">
        <v>10</v>
      </c>
      <c r="G5" s="13">
        <v>0</v>
      </c>
      <c r="H5" s="13">
        <v>0</v>
      </c>
      <c r="I5" s="13">
        <f t="shared" ref="I5:I11" si="0">SUM(B5:H5)</f>
        <v>47</v>
      </c>
      <c r="J5" s="30">
        <f t="shared" ref="J5:J11" si="1">AVERAGE(I5/7)</f>
        <v>6.7142857142857144</v>
      </c>
      <c r="K5" s="28" t="str">
        <f t="shared" ref="K5:K11" si="2">IF(J5&gt;6.9,("APROVADO"),("REPROVADO"))</f>
        <v>REPROVADO</v>
      </c>
    </row>
    <row r="6" spans="1:11">
      <c r="A6" s="18" t="s">
        <v>53</v>
      </c>
      <c r="B6" s="13">
        <v>10</v>
      </c>
      <c r="C6" s="13">
        <v>10</v>
      </c>
      <c r="D6" s="13">
        <v>10</v>
      </c>
      <c r="E6" s="13">
        <v>5</v>
      </c>
      <c r="F6" s="13">
        <v>0</v>
      </c>
      <c r="G6" s="13">
        <v>10</v>
      </c>
      <c r="H6" s="13">
        <v>4</v>
      </c>
      <c r="I6" s="13">
        <f t="shared" si="0"/>
        <v>49</v>
      </c>
      <c r="J6" s="30">
        <f t="shared" si="1"/>
        <v>7</v>
      </c>
      <c r="K6" s="28" t="str">
        <f t="shared" si="2"/>
        <v>APROVADO</v>
      </c>
    </row>
    <row r="7" spans="1:11">
      <c r="A7" s="18" t="s">
        <v>54</v>
      </c>
      <c r="B7" s="13">
        <v>10</v>
      </c>
      <c r="C7" s="13">
        <v>7</v>
      </c>
      <c r="D7" s="13">
        <v>10</v>
      </c>
      <c r="E7" s="13">
        <v>7</v>
      </c>
      <c r="F7" s="13">
        <v>3</v>
      </c>
      <c r="G7" s="13">
        <v>10</v>
      </c>
      <c r="H7" s="13">
        <v>2</v>
      </c>
      <c r="I7" s="13">
        <f t="shared" si="0"/>
        <v>49</v>
      </c>
      <c r="J7" s="30">
        <f t="shared" si="1"/>
        <v>7</v>
      </c>
      <c r="K7" s="28" t="str">
        <f t="shared" si="2"/>
        <v>APROVADO</v>
      </c>
    </row>
    <row r="8" spans="1:11">
      <c r="A8" s="18" t="s">
        <v>55</v>
      </c>
      <c r="B8" s="13">
        <v>7</v>
      </c>
      <c r="C8" s="13">
        <v>8</v>
      </c>
      <c r="D8" s="13">
        <v>10</v>
      </c>
      <c r="E8" s="13">
        <v>6</v>
      </c>
      <c r="F8" s="13">
        <v>3</v>
      </c>
      <c r="G8" s="13">
        <v>10</v>
      </c>
      <c r="H8" s="13">
        <v>5</v>
      </c>
      <c r="I8" s="13">
        <f t="shared" si="0"/>
        <v>49</v>
      </c>
      <c r="J8" s="30">
        <f t="shared" si="1"/>
        <v>7</v>
      </c>
      <c r="K8" s="28" t="str">
        <f t="shared" si="2"/>
        <v>APROVADO</v>
      </c>
    </row>
    <row r="9" spans="1:11">
      <c r="A9" s="18" t="s">
        <v>56</v>
      </c>
      <c r="B9" s="13">
        <v>2</v>
      </c>
      <c r="C9" s="13">
        <v>7</v>
      </c>
      <c r="D9" s="13">
        <v>5</v>
      </c>
      <c r="E9" s="13">
        <v>9</v>
      </c>
      <c r="F9" s="13">
        <v>3</v>
      </c>
      <c r="G9" s="13">
        <v>0</v>
      </c>
      <c r="H9" s="13">
        <v>0</v>
      </c>
      <c r="I9" s="13">
        <f t="shared" si="0"/>
        <v>26</v>
      </c>
      <c r="J9" s="30">
        <f t="shared" si="1"/>
        <v>3.7142857142857144</v>
      </c>
      <c r="K9" s="28" t="str">
        <f t="shared" si="2"/>
        <v>REPROVADO</v>
      </c>
    </row>
    <row r="10" spans="1:11" ht="15" thickBot="1">
      <c r="A10" s="18" t="s">
        <v>57</v>
      </c>
      <c r="B10" s="13">
        <v>5</v>
      </c>
      <c r="C10" s="13">
        <v>10</v>
      </c>
      <c r="D10" s="13">
        <v>4</v>
      </c>
      <c r="E10" s="13">
        <v>0</v>
      </c>
      <c r="F10" s="13">
        <v>0</v>
      </c>
      <c r="G10" s="13">
        <v>6</v>
      </c>
      <c r="H10" s="13">
        <v>2</v>
      </c>
      <c r="I10" s="22">
        <f t="shared" si="0"/>
        <v>27</v>
      </c>
      <c r="J10" s="30">
        <f t="shared" si="1"/>
        <v>3.8571428571428572</v>
      </c>
      <c r="K10" s="28" t="str">
        <f t="shared" si="2"/>
        <v>REPROVADO</v>
      </c>
    </row>
    <row r="11" spans="1:11" ht="15" thickBot="1">
      <c r="A11" s="19" t="s">
        <v>58</v>
      </c>
      <c r="B11" s="20">
        <v>0</v>
      </c>
      <c r="C11" s="20">
        <v>0</v>
      </c>
      <c r="D11" s="20">
        <v>0</v>
      </c>
      <c r="E11" s="20">
        <v>10</v>
      </c>
      <c r="F11" s="20">
        <v>0</v>
      </c>
      <c r="G11" s="20">
        <v>0</v>
      </c>
      <c r="H11" s="21">
        <v>10</v>
      </c>
      <c r="I11" s="23">
        <f t="shared" si="0"/>
        <v>20</v>
      </c>
      <c r="J11" s="30">
        <f t="shared" si="1"/>
        <v>2.8571428571428572</v>
      </c>
      <c r="K11" s="29" t="str">
        <f t="shared" si="2"/>
        <v>REPROVADO</v>
      </c>
    </row>
  </sheetData>
  <mergeCells count="4">
    <mergeCell ref="A1:H1"/>
    <mergeCell ref="A2:A3"/>
    <mergeCell ref="B2:H2"/>
    <mergeCell ref="K1:K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3100-ED0A-4CFB-AE0C-D95ECFBA7661}">
  <dimension ref="A1:O19"/>
  <sheetViews>
    <sheetView tabSelected="1" topLeftCell="M1" workbookViewId="0">
      <selection activeCell="R3" sqref="R3"/>
    </sheetView>
  </sheetViews>
  <sheetFormatPr defaultRowHeight="14.5"/>
  <cols>
    <col min="1" max="1" width="13.1796875" bestFit="1" customWidth="1"/>
    <col min="2" max="3" width="10" bestFit="1" customWidth="1"/>
    <col min="4" max="4" width="9.26953125" bestFit="1" customWidth="1"/>
  </cols>
  <sheetData>
    <row r="1" spans="1:15">
      <c r="A1" s="32" t="s">
        <v>63</v>
      </c>
      <c r="B1" s="33" t="s">
        <v>65</v>
      </c>
      <c r="C1" s="33" t="s">
        <v>66</v>
      </c>
      <c r="D1" s="62" t="s">
        <v>67</v>
      </c>
      <c r="E1" s="65" t="s">
        <v>69</v>
      </c>
    </row>
    <row r="2" spans="1:15">
      <c r="A2" s="34"/>
      <c r="B2" s="35"/>
      <c r="C2" s="35"/>
      <c r="D2" s="63"/>
      <c r="E2" s="66"/>
    </row>
    <row r="3" spans="1:15">
      <c r="A3" s="36" t="s">
        <v>52</v>
      </c>
      <c r="B3" s="13">
        <f>SUM(B7:O7)</f>
        <v>2</v>
      </c>
      <c r="C3" s="13">
        <f>SUM(B12:O12)</f>
        <v>2</v>
      </c>
      <c r="D3" s="25">
        <f>SUM(B17:O17)</f>
        <v>9</v>
      </c>
      <c r="E3" s="67">
        <f>SUM(B3:D3)</f>
        <v>13</v>
      </c>
    </row>
    <row r="4" spans="1:15" ht="15" thickBot="1">
      <c r="A4" s="38" t="s">
        <v>64</v>
      </c>
      <c r="B4" s="13">
        <f t="shared" ref="B4:B5" si="0">SUM(B8:O8)</f>
        <v>10</v>
      </c>
      <c r="C4" s="13">
        <f t="shared" ref="C4:C7" si="1">SUM(B13:O13)</f>
        <v>6</v>
      </c>
      <c r="D4" s="60">
        <f t="shared" ref="D4:D8" si="2">SUM(B18:O18)</f>
        <v>4</v>
      </c>
      <c r="E4" s="67">
        <f t="shared" ref="E4:E7" si="3">SUM(B4:D4)</f>
        <v>20</v>
      </c>
    </row>
    <row r="5" spans="1:15">
      <c r="A5" s="39" t="s">
        <v>68</v>
      </c>
      <c r="B5" s="13">
        <f t="shared" si="0"/>
        <v>2</v>
      </c>
      <c r="C5" s="25">
        <f t="shared" si="1"/>
        <v>6</v>
      </c>
      <c r="D5" s="64">
        <f t="shared" si="2"/>
        <v>1</v>
      </c>
      <c r="E5" s="67">
        <f t="shared" si="3"/>
        <v>9</v>
      </c>
    </row>
    <row r="6" spans="1:15">
      <c r="A6" s="40"/>
      <c r="B6" s="37" t="s">
        <v>65</v>
      </c>
      <c r="C6" s="60"/>
      <c r="D6" s="61"/>
      <c r="E6" s="67"/>
    </row>
    <row r="7" spans="1:15" ht="14" customHeight="1">
      <c r="A7" s="41" t="s">
        <v>52</v>
      </c>
      <c r="B7" s="44"/>
      <c r="C7" s="52"/>
      <c r="D7" s="56"/>
      <c r="E7" s="67"/>
      <c r="F7" s="45"/>
      <c r="G7" s="55">
        <v>1</v>
      </c>
      <c r="H7" s="46"/>
      <c r="I7" s="45"/>
      <c r="J7" s="55"/>
      <c r="K7" s="46"/>
      <c r="L7" s="45"/>
      <c r="M7" s="55"/>
      <c r="N7" s="46"/>
      <c r="O7" s="46">
        <v>1</v>
      </c>
    </row>
    <row r="8" spans="1:15" ht="15" thickBot="1">
      <c r="A8" s="42" t="s">
        <v>64</v>
      </c>
      <c r="B8" s="52">
        <v>1</v>
      </c>
      <c r="C8" s="49">
        <v>1</v>
      </c>
      <c r="D8" s="56"/>
      <c r="E8" s="54">
        <v>1</v>
      </c>
      <c r="F8" s="53">
        <v>1</v>
      </c>
      <c r="G8" s="56"/>
      <c r="H8" s="54">
        <v>1</v>
      </c>
      <c r="I8" s="53"/>
      <c r="J8" s="56">
        <v>1</v>
      </c>
      <c r="K8" s="54">
        <v>1</v>
      </c>
      <c r="L8" s="53">
        <v>1</v>
      </c>
      <c r="M8" s="56">
        <v>1</v>
      </c>
      <c r="N8" s="54">
        <v>1</v>
      </c>
      <c r="O8" s="54"/>
    </row>
    <row r="9" spans="1:15">
      <c r="A9" s="43" t="s">
        <v>68</v>
      </c>
      <c r="B9" s="49"/>
      <c r="C9" s="49"/>
      <c r="D9" s="57">
        <v>1</v>
      </c>
      <c r="E9" s="57"/>
      <c r="F9" s="50"/>
      <c r="G9" s="57"/>
      <c r="H9" s="51"/>
      <c r="I9" s="50">
        <v>1</v>
      </c>
      <c r="J9" s="57"/>
      <c r="K9" s="51"/>
      <c r="L9" s="50"/>
      <c r="M9" s="57"/>
      <c r="N9" s="51"/>
      <c r="O9" s="51"/>
    </row>
    <row r="10" spans="1:15">
      <c r="A10" s="31"/>
      <c r="E10" s="48"/>
      <c r="K10" s="48"/>
    </row>
    <row r="11" spans="1:15">
      <c r="B11" s="37" t="s">
        <v>66</v>
      </c>
    </row>
    <row r="12" spans="1:15">
      <c r="A12" s="41" t="s">
        <v>52</v>
      </c>
      <c r="B12" s="55"/>
      <c r="C12" s="45"/>
      <c r="D12" s="55"/>
      <c r="E12" s="55"/>
      <c r="F12" s="45"/>
      <c r="G12" s="55"/>
      <c r="H12" s="45"/>
      <c r="I12" s="55">
        <v>1</v>
      </c>
      <c r="J12" s="45"/>
      <c r="K12" s="55"/>
      <c r="L12" s="45"/>
      <c r="M12" s="55">
        <v>1</v>
      </c>
      <c r="N12" s="55"/>
      <c r="O12" s="46"/>
    </row>
    <row r="13" spans="1:15" ht="15" thickBot="1">
      <c r="A13" s="42" t="s">
        <v>64</v>
      </c>
      <c r="B13" s="56">
        <v>1</v>
      </c>
      <c r="C13" s="53">
        <v>1</v>
      </c>
      <c r="D13" s="56"/>
      <c r="E13" s="56">
        <v>1</v>
      </c>
      <c r="F13" s="53">
        <v>1</v>
      </c>
      <c r="G13" s="56"/>
      <c r="H13" s="53"/>
      <c r="I13" s="56"/>
      <c r="J13" s="53"/>
      <c r="K13" s="56">
        <v>1</v>
      </c>
      <c r="L13" s="53"/>
      <c r="M13" s="56"/>
      <c r="N13" s="56">
        <v>1</v>
      </c>
      <c r="O13" s="54"/>
    </row>
    <row r="14" spans="1:15">
      <c r="A14" s="43" t="s">
        <v>68</v>
      </c>
      <c r="B14" s="49"/>
      <c r="C14" s="52"/>
      <c r="D14" s="56">
        <v>1</v>
      </c>
      <c r="E14" s="57"/>
      <c r="F14" s="50"/>
      <c r="G14" s="57">
        <v>1</v>
      </c>
      <c r="H14" s="50">
        <v>1</v>
      </c>
      <c r="I14" s="57"/>
      <c r="J14" s="50">
        <v>1</v>
      </c>
      <c r="K14" s="57"/>
      <c r="L14" s="50">
        <v>1</v>
      </c>
      <c r="M14" s="57"/>
      <c r="N14" s="57"/>
      <c r="O14" s="51">
        <v>1</v>
      </c>
    </row>
    <row r="16" spans="1:15">
      <c r="B16" s="37" t="s">
        <v>67</v>
      </c>
    </row>
    <row r="17" spans="1:15">
      <c r="A17" s="41" t="s">
        <v>52</v>
      </c>
      <c r="B17" s="52">
        <v>1</v>
      </c>
      <c r="C17" s="56"/>
      <c r="D17" s="56">
        <v>1</v>
      </c>
      <c r="E17" s="53">
        <v>1</v>
      </c>
      <c r="F17" s="56"/>
      <c r="G17" s="53">
        <v>1</v>
      </c>
      <c r="H17" s="56">
        <v>1</v>
      </c>
      <c r="I17" s="53"/>
      <c r="J17" s="56">
        <v>1</v>
      </c>
      <c r="K17" s="53"/>
      <c r="L17" s="56">
        <v>1</v>
      </c>
      <c r="M17" s="53">
        <v>1</v>
      </c>
      <c r="N17" s="59">
        <v>1</v>
      </c>
      <c r="O17" s="54"/>
    </row>
    <row r="18" spans="1:15" ht="15" thickBot="1">
      <c r="A18" s="42" t="s">
        <v>64</v>
      </c>
      <c r="B18" s="47"/>
      <c r="C18" s="58">
        <v>1</v>
      </c>
      <c r="D18" s="58"/>
      <c r="E18" s="31"/>
      <c r="F18" s="58"/>
      <c r="G18" s="31"/>
      <c r="H18" s="58"/>
      <c r="I18" s="31">
        <v>1</v>
      </c>
      <c r="J18" s="58"/>
      <c r="K18" s="31">
        <v>1</v>
      </c>
      <c r="L18" s="58"/>
      <c r="M18" s="31"/>
      <c r="N18" s="58"/>
      <c r="O18" s="48">
        <v>1</v>
      </c>
    </row>
    <row r="19" spans="1:15">
      <c r="A19" s="43" t="s">
        <v>68</v>
      </c>
      <c r="B19" s="52"/>
      <c r="C19" s="56"/>
      <c r="D19" s="56"/>
      <c r="E19" s="53"/>
      <c r="F19" s="56">
        <v>1</v>
      </c>
      <c r="G19" s="53"/>
      <c r="H19" s="56"/>
      <c r="I19" s="53"/>
      <c r="J19" s="56"/>
      <c r="K19" s="53"/>
      <c r="L19" s="56"/>
      <c r="M19" s="53"/>
      <c r="N19" s="56"/>
      <c r="O19" s="54"/>
    </row>
  </sheetData>
  <mergeCells count="5">
    <mergeCell ref="A1:A2"/>
    <mergeCell ref="B1:B2"/>
    <mergeCell ref="C1:C2"/>
    <mergeCell ref="D1:D2"/>
    <mergeCell ref="E1:E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Nave espacial</vt:lpstr>
      <vt:lpstr>Planilha1</vt:lpstr>
      <vt:lpstr>Planilha2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COORDENADOR BRUNO</dc:creator>
  <cp:lastModifiedBy>Lab 06-Micro 10</cp:lastModifiedBy>
  <dcterms:created xsi:type="dcterms:W3CDTF">2026-09-14T23:50:11Z</dcterms:created>
  <dcterms:modified xsi:type="dcterms:W3CDTF">2026-09-22T01:18:06Z</dcterms:modified>
</cp:coreProperties>
</file>