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 06-Micro 10\Desktop\"/>
    </mc:Choice>
  </mc:AlternateContent>
  <xr:revisionPtr revIDLastSave="0" documentId="13_ncr:1_{EAB7E8D3-BEAD-4FB5-87F1-13701827EFB2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Nave espacial" sheetId="1" r:id="rId1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  <c r="D3" i="1" l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" i="1"/>
  <c r="F2" i="1" s="1"/>
</calcChain>
</file>

<file path=xl/sharedStrings.xml><?xml version="1.0" encoding="utf-8"?>
<sst xmlns="http://schemas.openxmlformats.org/spreadsheetml/2006/main" count="42" uniqueCount="42">
  <si>
    <t>NOME</t>
  </si>
  <si>
    <t>ANDRE GONCALVES DOS SANTOS</t>
  </si>
  <si>
    <t>ANDRÉ NUNES DA SILVA SANTAELA</t>
  </si>
  <si>
    <t>ANSELMO DE JESUS VIEIRA</t>
  </si>
  <si>
    <t>BEATRIZ SANTOS FARIA</t>
  </si>
  <si>
    <t>BRENNO SAMUEL LUCIN</t>
  </si>
  <si>
    <t>DIOGO QUIDIM DESTEFANO</t>
  </si>
  <si>
    <t>ENZO SILVA PIRES DA MOTTA</t>
  </si>
  <si>
    <t>ISIS DE OLIVEIRA NAZARIO</t>
  </si>
  <si>
    <t>JULIANA CONTRI DE SANTIS</t>
  </si>
  <si>
    <t>KAUE ELIAS RODRIGUES DE SOUZA</t>
  </si>
  <si>
    <t>LILIANE FRANCISCO DAS CANDEIAS</t>
  </si>
  <si>
    <t>LUCAS DOELITZSCH DA SILVA</t>
  </si>
  <si>
    <t>LUCAS YUKI LEROY MATSUMOTO SILVA</t>
  </si>
  <si>
    <t>LUCCA MARINHO CARVALHO</t>
  </si>
  <si>
    <t>LUIS FELIPE DE MATOS ARAUJO ALVES</t>
  </si>
  <si>
    <t>MANUELLA NASCIMENTO DE MEDEIROS</t>
  </si>
  <si>
    <t>MARCELLO ZANON SIBILLA</t>
  </si>
  <si>
    <t>MARCIO MARTINS PAIVA</t>
  </si>
  <si>
    <t>FUNÇÃO</t>
  </si>
  <si>
    <t>SALÁRIO</t>
  </si>
  <si>
    <t>DESCONTO</t>
  </si>
  <si>
    <t>GASTO MENSAL</t>
  </si>
  <si>
    <t>SALÁRIO L</t>
  </si>
  <si>
    <t>GPS ESPACIAL</t>
  </si>
  <si>
    <t>PILOTO 01</t>
  </si>
  <si>
    <t>CHEFE DE MANUTENÇÃO</t>
  </si>
  <si>
    <t>PILOTOA 02</t>
  </si>
  <si>
    <t>ESTÁGIÁRIO</t>
  </si>
  <si>
    <t>RANGER VERMELHO</t>
  </si>
  <si>
    <t>RANGER DOURADO</t>
  </si>
  <si>
    <t>ORACULO ESPACIAL</t>
  </si>
  <si>
    <t>CAPITÃ DA NAVE</t>
  </si>
  <si>
    <t>DJ ESPACIAL</t>
  </si>
  <si>
    <t>CHEFE DE ARMAMENTOS DA NAVE</t>
  </si>
  <si>
    <t>COZINHEIRO ESPACIAL</t>
  </si>
  <si>
    <t>CAÇADOR DE ALIENS VENENOSOS</t>
  </si>
  <si>
    <t>HERÓI ESPACIAL</t>
  </si>
  <si>
    <t>AJUDANTE DE HERÓI</t>
  </si>
  <si>
    <t>VILÃ ESPACIAL</t>
  </si>
  <si>
    <t>ENGENHEIRO DE DBRA ESPACIAL</t>
  </si>
  <si>
    <t>CHEFE DE DEFESA ESPACIAL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</si>
</sst>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3">
    <font>
      <sz val="11"/>
      <name val="Calibri"/>
    </font>
    <font>
      <sz val="11"/>
      <name val="Calibri"/>
      <family val="2"/>
    </font>
    <font>
      <b/>
      <sz val="11"/>
      <color rgb="FFFFFF00"/>
      <name val="Papyrus"/>
      <family val="4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 applyNumberFormat="1" applyFont="1" applyProtection="1"/>
    <xf numFmtId="49" fontId="0" fillId="0" borderId="3" xfId="0" applyNumberFormat="1" applyFont="1" applyBorder="1" applyAlignment="1" applyProtection="1">
      <alignment horizontal="center"/>
    </xf>
    <xf numFmtId="49" fontId="0" fillId="0" borderId="1" xfId="0" applyNumberFormat="1" applyFont="1" applyBorder="1" applyAlignment="1" applyProtection="1">
      <alignment horizontal="center"/>
    </xf>
    <xf numFmtId="164" fontId="0" fillId="0" borderId="1" xfId="0" applyNumberFormat="1" applyFont="1" applyBorder="1" applyAlignment="1" applyProtection="1">
      <alignment horizontal="center"/>
    </xf>
    <xf numFmtId="44" fontId="0" fillId="0" borderId="1" xfId="1" applyFont="1" applyBorder="1" applyAlignment="1" applyProtection="1">
      <alignment horizontal="center"/>
    </xf>
    <xf numFmtId="164" fontId="0" fillId="0" borderId="4" xfId="0" applyNumberFormat="1" applyFont="1" applyBorder="1" applyAlignment="1" applyProtection="1">
      <alignment horizontal="center"/>
    </xf>
    <xf numFmtId="49" fontId="0" fillId="0" borderId="5" xfId="0" applyNumberFormat="1" applyFont="1" applyBorder="1" applyAlignment="1" applyProtection="1">
      <alignment horizontal="center"/>
    </xf>
    <xf numFmtId="49" fontId="0" fillId="0" borderId="6" xfId="0" applyNumberFormat="1" applyFont="1" applyBorder="1" applyAlignment="1" applyProtection="1">
      <alignment horizontal="center"/>
    </xf>
    <xf numFmtId="164" fontId="0" fillId="0" borderId="6" xfId="0" applyNumberFormat="1" applyFont="1" applyBorder="1" applyAlignment="1" applyProtection="1">
      <alignment horizontal="center"/>
    </xf>
    <xf numFmtId="44" fontId="0" fillId="0" borderId="6" xfId="1" applyFont="1" applyBorder="1" applyAlignment="1" applyProtection="1">
      <alignment horizontal="center"/>
    </xf>
    <xf numFmtId="164" fontId="0" fillId="0" borderId="7" xfId="0" applyNumberFormat="1" applyFont="1" applyBorder="1" applyAlignment="1" applyProtection="1">
      <alignment horizontal="center"/>
    </xf>
    <xf numFmtId="0" fontId="2" fillId="2" borderId="2" xfId="0" applyNumberFormat="1" applyFont="1" applyFill="1" applyBorder="1" applyAlignment="1" applyProtection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'Nave espacial'!$C$1</c:f>
              <c:strCache>
                <c:ptCount val="1"/>
                <c:pt idx="0">
                  <c:v>SALÁRIO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'Nave espacial'!$A$2:$A$19</c:f>
              <c:strCache>
                <c:ptCount val="18"/>
                <c:pt idx="0">
                  <c:v>ANDRE GONCALVES DOS SANTOS</c:v>
                </c:pt>
                <c:pt idx="1">
                  <c:v>ANDRÉ NUNES DA SILVA SANTAELA</c:v>
                </c:pt>
                <c:pt idx="2">
                  <c:v>ANSELMO DE JESUS VIEIRA</c:v>
                </c:pt>
                <c:pt idx="3">
                  <c:v>BEATRIZ SANTOS FARIA</c:v>
                </c:pt>
                <c:pt idx="4">
                  <c:v>BRENNO SAMUEL LUCIN</c:v>
                </c:pt>
                <c:pt idx="5">
                  <c:v>DIOGO QUIDIM DESTEFANO</c:v>
                </c:pt>
                <c:pt idx="6">
                  <c:v>ENZO SILVA PIRES DA MOTTA</c:v>
                </c:pt>
                <c:pt idx="7">
                  <c:v>ISIS DE OLIVEIRA NAZARIO</c:v>
                </c:pt>
                <c:pt idx="8">
                  <c:v>JULIANA CONTRI DE SANTIS</c:v>
                </c:pt>
                <c:pt idx="9">
                  <c:v>KAUE ELIAS RODRIGUES DE SOUZA</c:v>
                </c:pt>
                <c:pt idx="10">
                  <c:v>LILIANE FRANCISCO DAS CANDEIAS</c:v>
                </c:pt>
                <c:pt idx="11">
                  <c:v>LUCAS DOELITZSCH DA SILVA</c:v>
                </c:pt>
                <c:pt idx="12">
                  <c:v>LUCAS YUKI LEROY MATSUMOTO SILVA</c:v>
                </c:pt>
                <c:pt idx="13">
                  <c:v>LUCCA MARINHO CARVALHO</c:v>
                </c:pt>
                <c:pt idx="14">
                  <c:v>LUIS FELIPE DE MATOS ARAUJO ALVES</c:v>
                </c:pt>
                <c:pt idx="15">
                  <c:v>MANUELLA NASCIMENTO DE MEDEIROS</c:v>
                </c:pt>
                <c:pt idx="16">
                  <c:v>MARCELLO ZANON SIBILLA</c:v>
                </c:pt>
                <c:pt idx="17">
                  <c:v>MARCIO MARTINS PAIVA</c:v>
                </c:pt>
              </c:strCache>
            </c:strRef>
          </c:cat>
          <c:val>
            <c:numRef>
              <c:f>'Nave espacial'!$C$2:$C$19</c:f>
              <c:numCache>
                <c:formatCode>_-[$R$-416]\ * #,##0.00_-;\-[$R$-416]\ * #,##0.00_-;_-[$R$-416]\ * "-"??_-;_-@_-</c:formatCode>
                <c:ptCount val="18"/>
                <c:pt idx="0">
                  <c:v>5589</c:v>
                </c:pt>
                <c:pt idx="1">
                  <c:v>8214</c:v>
                </c:pt>
                <c:pt idx="2">
                  <c:v>6199</c:v>
                </c:pt>
                <c:pt idx="3">
                  <c:v>5205</c:v>
                </c:pt>
                <c:pt idx="4">
                  <c:v>9427</c:v>
                </c:pt>
                <c:pt idx="5">
                  <c:v>5712</c:v>
                </c:pt>
                <c:pt idx="6">
                  <c:v>9120</c:v>
                </c:pt>
                <c:pt idx="7">
                  <c:v>9451</c:v>
                </c:pt>
                <c:pt idx="8">
                  <c:v>9556</c:v>
                </c:pt>
                <c:pt idx="9">
                  <c:v>6212</c:v>
                </c:pt>
                <c:pt idx="10">
                  <c:v>9593</c:v>
                </c:pt>
                <c:pt idx="11">
                  <c:v>6346</c:v>
                </c:pt>
                <c:pt idx="12">
                  <c:v>8561</c:v>
                </c:pt>
                <c:pt idx="13">
                  <c:v>5689</c:v>
                </c:pt>
                <c:pt idx="14">
                  <c:v>7521</c:v>
                </c:pt>
                <c:pt idx="15">
                  <c:v>7360</c:v>
                </c:pt>
                <c:pt idx="16">
                  <c:v>9921</c:v>
                </c:pt>
                <c:pt idx="17">
                  <c:v>6332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B-4A6C-A1D3-AB17915F2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shape val="box"/>
        <c:axId val="568389647"/>
        <c:axId val="432446015"/>
        <c:axId val="0"/>
      </c:bar3DChart>
      <c:catAx>
        <c:axId val="56838964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2446015"/>
        <c:crosses val="autoZero"/>
        <c:auto val="1"/>
        <c:lblAlgn val="ctr"/>
        <c:lblOffset val="100"/>
        <c:noMultiLvlLbl val="0"/>
      </c:catAx>
      <c:valAx>
        <c:axId val="43244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[$R$-416]\ * #,##0.00_-;\-[$R$-416]\ * #,##0.00_-;_-[$R$-416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38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311150</xdr:colOff>
      <xdr:row>19</xdr:row>
      <xdr:rowOff>82550</xdr:rowOff>
    </xdr:from>
    <xdr:to>
      <xdr:col>6</xdr:col>
      <xdr:colOff>298450</xdr:colOff>
      <xdr:row>39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7C3410-F820-4040-A691-E376A8C44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9"/>
  <sheetViews>
    <sheetView tabSelected="1" workbookViewId="0">
      <selection activeCell="C2" sqref="C2"/>
    </sheetView>
  </sheetViews>
  <sheetFormatPr defaultRowHeight="14.5"/>
  <cols>
    <col min="1" max="1" width="36.7265625" customWidth="1"/>
    <col min="2" max="2" width="31.7265625" bestFit="1" customWidth="1"/>
    <col min="3" max="3" width="13.7265625" bestFit="1" customWidth="1"/>
    <col min="4" max="4" width="19.453125" customWidth="1"/>
    <col min="5" max="5" width="25.26953125" customWidth="1"/>
    <col min="6" max="6" width="15.81640625" customWidth="1"/>
  </cols>
  <sheetData>
    <row r="1" spans="1:6" ht="18">
      <c r="A1" s="11" t="s">
        <v>0</v>
      </c>
      <c r="B1" s="11" t="s">
        <v>19</v>
      </c>
      <c r="C1" s="11" t="s">
        <v>20</v>
      </c>
      <c r="D1" s="11" t="s">
        <v>21</v>
      </c>
      <c r="E1" s="11" t="s">
        <v>22</v>
      </c>
      <c r="F1" s="11" t="s">
        <v>23</v>
      </c>
    </row>
    <row r="2" spans="1:6">
      <c r="A2" s="1" t="s">
        <v>1</v>
      </c>
      <c r="B2" s="2" t="s">
        <v>24</v>
      </c>
      <c r="C2" s="3">
        <f ca="1">RANDBETWEEN(5000,10000)</f>
        <v>5589</v>
      </c>
      <c r="D2" s="4">
        <f ca="1">(C2*2)/100</f>
        <v>111.78</v>
      </c>
      <c r="E2" s="3">
        <v>8000</v>
      </c>
      <c r="F2" s="5">
        <f ca="1">C2-D2-E2</f>
        <v>-2522.7799999999997</v>
      </c>
    </row>
    <row r="3" spans="1:6">
      <c r="A3" s="1" t="s">
        <v>2</v>
      </c>
      <c r="B3" s="2" t="s">
        <v>25</v>
      </c>
      <c r="C3" s="3">
        <f t="shared" ref="C3:C19" ca="1" si="0">RANDBETWEEN(5000,10000)</f>
        <v>8214</v>
      </c>
      <c r="D3" s="4">
        <f t="shared" ref="D3:D19" ca="1" si="1">(C3*2)/100</f>
        <v>164.28</v>
      </c>
      <c r="E3" s="3">
        <v>500</v>
      </c>
      <c r="F3" s="5">
        <f t="shared" ref="F3:F19" ca="1" si="2">C3-D3-E3</f>
        <v>7549.72</v>
      </c>
    </row>
    <row r="4" spans="1:6">
      <c r="A4" s="1" t="s">
        <v>3</v>
      </c>
      <c r="B4" s="2" t="s">
        <v>26</v>
      </c>
      <c r="C4" s="3">
        <f t="shared" ca="1" si="0"/>
        <v>6199</v>
      </c>
      <c r="D4" s="4">
        <f t="shared" ca="1" si="1"/>
        <v>123.98</v>
      </c>
      <c r="E4" s="3">
        <v>20000</v>
      </c>
      <c r="F4" s="5">
        <f t="shared" ca="1" si="2"/>
        <v>-13924.98</v>
      </c>
    </row>
    <row r="5" spans="1:6">
      <c r="A5" s="1" t="s">
        <v>4</v>
      </c>
      <c r="B5" s="2" t="s">
        <v>27</v>
      </c>
      <c r="C5" s="3">
        <f t="shared" ca="1" si="0"/>
        <v>5205</v>
      </c>
      <c r="D5" s="4">
        <f t="shared" ca="1" si="1"/>
        <v>104.1</v>
      </c>
      <c r="E5" s="3">
        <v>5000</v>
      </c>
      <c r="F5" s="5">
        <f t="shared" ca="1" si="2"/>
        <v>100.89999999999964</v>
      </c>
    </row>
    <row r="6" spans="1:6">
      <c r="A6" s="1" t="s">
        <v>5</v>
      </c>
      <c r="B6" s="2" t="s">
        <v>28</v>
      </c>
      <c r="C6" s="3">
        <f t="shared" ca="1" si="0"/>
        <v>9427</v>
      </c>
      <c r="D6" s="4">
        <f t="shared" ca="1" si="1"/>
        <v>188.54</v>
      </c>
      <c r="E6" s="3">
        <v>500</v>
      </c>
      <c r="F6" s="5">
        <f t="shared" ca="1" si="2"/>
        <v>8738.4599999999991</v>
      </c>
    </row>
    <row r="7" spans="1:6">
      <c r="A7" s="1" t="s">
        <v>6</v>
      </c>
      <c r="B7" s="2" t="s">
        <v>29</v>
      </c>
      <c r="C7" s="3">
        <f t="shared" ca="1" si="0"/>
        <v>5712</v>
      </c>
      <c r="D7" s="4">
        <f t="shared" ca="1" si="1"/>
        <v>114.24</v>
      </c>
      <c r="E7" s="3">
        <v>3000</v>
      </c>
      <c r="F7" s="5">
        <f t="shared" ca="1" si="2"/>
        <v>2597.7600000000002</v>
      </c>
    </row>
    <row r="8" spans="1:6">
      <c r="A8" s="1" t="s">
        <v>7</v>
      </c>
      <c r="B8" s="2" t="s">
        <v>30</v>
      </c>
      <c r="C8" s="3">
        <f t="shared" ca="1" si="0"/>
        <v>9120</v>
      </c>
      <c r="D8" s="4">
        <f t="shared" ca="1" si="1"/>
        <v>182.4</v>
      </c>
      <c r="E8" s="3">
        <v>50</v>
      </c>
      <c r="F8" s="5">
        <f t="shared" ca="1" si="2"/>
        <v>8887.6</v>
      </c>
    </row>
    <row r="9" spans="1:6">
      <c r="A9" s="1" t="s">
        <v>8</v>
      </c>
      <c r="B9" s="2" t="s">
        <v>31</v>
      </c>
      <c r="C9" s="3">
        <f t="shared" ca="1" si="0"/>
        <v>9451</v>
      </c>
      <c r="D9" s="4">
        <f t="shared" ca="1" si="1"/>
        <v>189.02</v>
      </c>
      <c r="E9" s="3">
        <v>2000</v>
      </c>
      <c r="F9" s="5">
        <f t="shared" ca="1" si="2"/>
        <v>7261.98</v>
      </c>
    </row>
    <row r="10" spans="1:6">
      <c r="A10" s="1" t="s">
        <v>9</v>
      </c>
      <c r="B10" s="2" t="s">
        <v>32</v>
      </c>
      <c r="C10" s="3">
        <f t="shared" ca="1" si="0"/>
        <v>9556</v>
      </c>
      <c r="D10" s="4">
        <f t="shared" ca="1" si="1"/>
        <v>191.12</v>
      </c>
      <c r="E10" s="3">
        <v>8000</v>
      </c>
      <c r="F10" s="5">
        <f t="shared" ca="1" si="2"/>
        <v>1364.8799999999992</v>
      </c>
    </row>
    <row r="11" spans="1:6">
      <c r="A11" s="1" t="s">
        <v>10</v>
      </c>
      <c r="B11" s="2" t="s">
        <v>33</v>
      </c>
      <c r="C11" s="3">
        <f t="shared" ca="1" si="0"/>
        <v>6212</v>
      </c>
      <c r="D11" s="4">
        <f t="shared" ca="1" si="1"/>
        <v>124.24</v>
      </c>
      <c r="E11" s="3">
        <v>3000</v>
      </c>
      <c r="F11" s="5">
        <f t="shared" ca="1" si="2"/>
        <v>3087.76</v>
      </c>
    </row>
    <row r="12" spans="1:6">
      <c r="A12" s="1" t="s">
        <v>11</v>
      </c>
      <c r="B12" s="2" t="s">
        <v>34</v>
      </c>
      <c r="C12" s="3">
        <f t="shared" ca="1" si="0"/>
        <v>9593</v>
      </c>
      <c r="D12" s="4">
        <f t="shared" ca="1" si="1"/>
        <v>191.86</v>
      </c>
      <c r="E12" s="3">
        <v>80000</v>
      </c>
      <c r="F12" s="5">
        <f t="shared" ca="1" si="2"/>
        <v>-70598.86</v>
      </c>
    </row>
    <row r="13" spans="1:6">
      <c r="A13" s="1" t="s">
        <v>12</v>
      </c>
      <c r="B13" s="2" t="s">
        <v>35</v>
      </c>
      <c r="C13" s="3">
        <f t="shared" ca="1" si="0"/>
        <v>6346</v>
      </c>
      <c r="D13" s="4">
        <f t="shared" ca="1" si="1"/>
        <v>126.92</v>
      </c>
      <c r="E13" s="3">
        <v>500</v>
      </c>
      <c r="F13" s="5">
        <f t="shared" ca="1" si="2"/>
        <v>5719.08</v>
      </c>
    </row>
    <row r="14" spans="1:6">
      <c r="A14" s="1" t="s">
        <v>13</v>
      </c>
      <c r="B14" s="2" t="s">
        <v>36</v>
      </c>
      <c r="C14" s="3">
        <f t="shared" ca="1" si="0"/>
        <v>8561</v>
      </c>
      <c r="D14" s="4">
        <f t="shared" ca="1" si="1"/>
        <v>171.22</v>
      </c>
      <c r="E14" s="3">
        <v>9000</v>
      </c>
      <c r="F14" s="5">
        <f t="shared" ca="1" si="2"/>
        <v>-610.21999999999935</v>
      </c>
    </row>
    <row r="15" spans="1:6">
      <c r="A15" s="1" t="s">
        <v>14</v>
      </c>
      <c r="B15" s="2" t="s">
        <v>37</v>
      </c>
      <c r="C15" s="3">
        <f t="shared" ca="1" si="0"/>
        <v>5689</v>
      </c>
      <c r="D15" s="4">
        <f t="shared" ca="1" si="1"/>
        <v>113.78</v>
      </c>
      <c r="E15" s="3">
        <v>50000</v>
      </c>
      <c r="F15" s="5">
        <f t="shared" ca="1" si="2"/>
        <v>-44424.78</v>
      </c>
    </row>
    <row r="16" spans="1:6">
      <c r="A16" s="1" t="s">
        <v>15</v>
      </c>
      <c r="B16" s="2" t="s">
        <v>38</v>
      </c>
      <c r="C16" s="3">
        <f t="shared" ca="1" si="0"/>
        <v>7521</v>
      </c>
      <c r="D16" s="4">
        <f t="shared" ca="1" si="1"/>
        <v>150.41999999999999</v>
      </c>
      <c r="E16" s="3">
        <v>500</v>
      </c>
      <c r="F16" s="5">
        <f t="shared" ca="1" si="2"/>
        <v>6870.58</v>
      </c>
    </row>
    <row r="17" spans="1:6">
      <c r="A17" s="1" t="s">
        <v>16</v>
      </c>
      <c r="B17" s="2" t="s">
        <v>39</v>
      </c>
      <c r="C17" s="3">
        <f t="shared" ca="1" si="0"/>
        <v>7360</v>
      </c>
      <c r="D17" s="4">
        <f t="shared" ca="1" si="1"/>
        <v>147.19999999999999</v>
      </c>
      <c r="E17" s="3">
        <v>35000</v>
      </c>
      <c r="F17" s="5">
        <f t="shared" ca="1" si="2"/>
        <v>-27787.200000000001</v>
      </c>
    </row>
    <row r="18" spans="1:6">
      <c r="A18" s="1" t="s">
        <v>17</v>
      </c>
      <c r="B18" s="2" t="s">
        <v>40</v>
      </c>
      <c r="C18" s="3">
        <f t="shared" ca="1" si="0"/>
        <v>9921</v>
      </c>
      <c r="D18" s="4">
        <f t="shared" ca="1" si="1"/>
        <v>198.42</v>
      </c>
      <c r="E18" s="3">
        <v>7000</v>
      </c>
      <c r="F18" s="5">
        <f t="shared" ca="1" si="2"/>
        <v>2722.58</v>
      </c>
    </row>
    <row r="19" spans="1:6" ht="15" thickBot="1">
      <c r="A19" s="6" t="s">
        <v>18</v>
      </c>
      <c r="B19" s="7" t="s">
        <v>41</v>
      </c>
      <c r="C19" s="3">
        <f t="shared" ca="1" si="0"/>
        <v>6332</v>
      </c>
      <c r="D19" s="9">
        <f t="shared" ca="1" si="1"/>
        <v>126.64</v>
      </c>
      <c r="E19" s="8">
        <v>15000</v>
      </c>
      <c r="F19" s="10">
        <f t="shared" ca="1" si="2"/>
        <v>-8794.64</v>
      </c>
    </row>
  </sheetData>
  <printOptions gridLines="1"/>
  <pageMargins left="0.511811024" right="0.511811024" top="0.78740157499999996" bottom="0.78740157499999996" header="0.31496062000000002" footer="0.31496062000000002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Nave espacial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COORDENADOR BRUNO</dc:creator>
  <cp:lastModifiedBy>Lab 06-Micro 10</cp:lastModifiedBy>
  <dcterms:created xsi:type="dcterms:W3CDTF">2026-09-14T23:50:11Z</dcterms:created>
  <dcterms:modified xsi:type="dcterms:W3CDTF">2026-09-15T01:25:21Z</dcterms:modified>
</cp:coreProperties>
</file>